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ff Availability" sheetId="1" state="visible" r:id="rId1"/>
    <sheet name="Bookings Calendar" sheetId="2" state="visible" r:id="rId2"/>
    <sheet name="Weekly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d&quot;, &quot;dd\-mmm\-yyyy"/>
    <numFmt numFmtId="165" formatCode="yyyy-mm-dd h:mm:ss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6E56"/>
      <sz val="14"/>
    </font>
    <font>
      <name val="Arial"/>
      <charset val="1"/>
      <family val="0"/>
      <i val="1"/>
      <color rgb="FF5F5E5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5F5E5A"/>
      <sz val="9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D3D1C7"/>
        <bgColor rgb="FFCCCCFF"/>
      </patternFill>
    </fill>
    <fill>
      <patternFill patternType="solid">
        <fgColor rgb="FFC0DD97"/>
        <bgColor rgb="FFD3D1C7"/>
      </patternFill>
    </fill>
    <fill>
      <patternFill patternType="solid">
        <fgColor rgb="FFFAC775"/>
        <bgColor rgb="FFF7C1C1"/>
      </patternFill>
    </fill>
    <fill>
      <patternFill patternType="solid">
        <fgColor rgb="FFF7C1C1"/>
        <bgColor rgb="FFD3D1C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22" customWidth="1" style="15" min="2" max="2"/>
    <col width="10" customWidth="1" style="15" min="3" max="3"/>
    <col width="20" customWidth="1" style="15" min="4" max="4"/>
    <col width="15" customWidth="1" style="15" min="5" max="10"/>
    <col width="10" customWidth="1" style="15" min="11" max="11"/>
    <col width="16" customWidth="1" style="15" min="12" max="13"/>
    <col width="26" customWidth="1" style="15" min="14" max="14"/>
  </cols>
  <sheetData>
    <row r="2" ht="17.35" customHeight="1" s="16">
      <c r="B2" s="17" t="inlineStr">
        <is>
          <t>Saathi Sneha Care — Staff Availability</t>
        </is>
      </c>
    </row>
    <row r="3" ht="15" customHeight="1" s="16">
      <c r="B3" s="18" t="inlineStr">
        <is>
          <t>Manually updated by front-desk staff. Mockup of current paper/Excel process.</t>
        </is>
      </c>
    </row>
    <row r="5" ht="21.75" customHeight="1" s="16">
      <c r="A5" s="19" t="inlineStr">
        <is>
          <t>Staff ID</t>
        </is>
      </c>
      <c r="B5" s="19" t="inlineStr">
        <is>
          <t>Name</t>
        </is>
      </c>
      <c r="C5" s="19" t="inlineStr">
        <is>
          <t>Role</t>
        </is>
      </c>
      <c r="D5" s="19" t="inlineStr">
        <is>
          <t>Specialty</t>
        </is>
      </c>
      <c r="E5" s="19" t="inlineStr">
        <is>
          <t>Mon</t>
        </is>
      </c>
      <c r="F5" s="19" t="inlineStr">
        <is>
          <t>Tue</t>
        </is>
      </c>
      <c r="G5" s="19" t="inlineStr">
        <is>
          <t>Wed</t>
        </is>
      </c>
      <c r="H5" s="19" t="inlineStr">
        <is>
          <t>Thu</t>
        </is>
      </c>
      <c r="I5" s="19" t="inlineStr">
        <is>
          <t>Fri</t>
        </is>
      </c>
      <c r="J5" s="19" t="inlineStr">
        <is>
          <t>Sat</t>
        </is>
      </c>
      <c r="K5" s="19" t="inlineStr">
        <is>
          <t>Sun</t>
        </is>
      </c>
      <c r="L5" s="19" t="inlineStr">
        <is>
          <t>Contact Number</t>
        </is>
      </c>
      <c r="M5" s="19" t="inlineStr">
        <is>
          <t>Service Area</t>
        </is>
      </c>
      <c r="N5" s="19" t="inlineStr">
        <is>
          <t>Notes</t>
        </is>
      </c>
    </row>
    <row r="6" ht="23.85" customHeight="1" s="16">
      <c r="A6" s="20" t="inlineStr">
        <is>
          <t>DR-01</t>
        </is>
      </c>
      <c r="B6" s="21" t="inlineStr">
        <is>
          <t>Dr. Ramesh Iyer</t>
        </is>
      </c>
      <c r="C6" s="20" t="inlineStr">
        <is>
          <t>Doctor</t>
        </is>
      </c>
      <c r="D6" s="20" t="inlineStr">
        <is>
          <t>General physician</t>
        </is>
      </c>
      <c r="E6" s="20" t="inlineStr">
        <is>
          <t>9:00 AM - 1:00 PM</t>
        </is>
      </c>
      <c r="F6" s="20" t="inlineStr">
        <is>
          <t>9:00 AM - 1:00 PM</t>
        </is>
      </c>
      <c r="G6" s="20" t="inlineStr">
        <is>
          <t>9:00 AM - 1:00 PM</t>
        </is>
      </c>
      <c r="H6" s="20" t="inlineStr">
        <is>
          <t>9:00 AM - 1:00 PM</t>
        </is>
      </c>
      <c r="I6" s="20" t="inlineStr">
        <is>
          <t>9:00 AM - 1:00 PM</t>
        </is>
      </c>
      <c r="J6" s="20" t="inlineStr">
        <is>
          <t>9:00 AM - 12:00 PM</t>
        </is>
      </c>
      <c r="K6" s="22" t="inlineStr">
        <is>
          <t>Off</t>
        </is>
      </c>
      <c r="L6" s="20" t="inlineStr">
        <is>
          <t>+91 98xxxxxx01</t>
        </is>
      </c>
      <c r="M6" s="20" t="inlineStr">
        <is>
          <t>Andheri, Bandra</t>
        </is>
      </c>
      <c r="N6" s="21" t="inlineStr">
        <is>
          <t>Prefers morning slots only</t>
        </is>
      </c>
    </row>
    <row r="7" ht="23.85" customHeight="1" s="16">
      <c r="A7" s="20" t="inlineStr">
        <is>
          <t>DR-02</t>
        </is>
      </c>
      <c r="B7" s="21" t="inlineStr">
        <is>
          <t>Dr. Priya Nair</t>
        </is>
      </c>
      <c r="C7" s="20" t="inlineStr">
        <is>
          <t>Doctor</t>
        </is>
      </c>
      <c r="D7" s="20" t="inlineStr">
        <is>
          <t>Geriatric care</t>
        </is>
      </c>
      <c r="E7" s="20" t="inlineStr">
        <is>
          <t>2:00 PM - 6:00 PM</t>
        </is>
      </c>
      <c r="F7" s="20" t="inlineStr">
        <is>
          <t>2:00 PM - 6:00 PM</t>
        </is>
      </c>
      <c r="G7" s="22" t="inlineStr">
        <is>
          <t>Off</t>
        </is>
      </c>
      <c r="H7" s="20" t="inlineStr">
        <is>
          <t>2:00 PM - 6:00 PM</t>
        </is>
      </c>
      <c r="I7" s="20" t="inlineStr">
        <is>
          <t>2:00 PM - 6:00 PM</t>
        </is>
      </c>
      <c r="J7" s="22" t="inlineStr">
        <is>
          <t>Off</t>
        </is>
      </c>
      <c r="K7" s="22" t="inlineStr">
        <is>
          <t>Off</t>
        </is>
      </c>
      <c r="L7" s="20" t="inlineStr">
        <is>
          <t>+91 98xxxxxx02</t>
        </is>
      </c>
      <c r="M7" s="20" t="inlineStr">
        <is>
          <t>Powai, Ghatkopar</t>
        </is>
      </c>
      <c r="N7" s="21" t="n"/>
    </row>
    <row r="8" ht="23.85" customHeight="1" s="16">
      <c r="A8" s="20" t="inlineStr">
        <is>
          <t>NR-01</t>
        </is>
      </c>
      <c r="B8" s="21" t="inlineStr">
        <is>
          <t>Nurse Anjali Fernandes</t>
        </is>
      </c>
      <c r="C8" s="20" t="inlineStr">
        <is>
          <t>Nurse</t>
        </is>
      </c>
      <c r="D8" s="20" t="inlineStr">
        <is>
          <t>General home care</t>
        </is>
      </c>
      <c r="E8" s="20" t="inlineStr">
        <is>
          <t>8:00 AM - 4:00 PM</t>
        </is>
      </c>
      <c r="F8" s="20" t="inlineStr">
        <is>
          <t>8:00 AM - 4:00 PM</t>
        </is>
      </c>
      <c r="G8" s="20" t="inlineStr">
        <is>
          <t>8:00 AM - 4:00 PM</t>
        </is>
      </c>
      <c r="H8" s="20" t="inlineStr">
        <is>
          <t>8:00 AM - 4:00 PM</t>
        </is>
      </c>
      <c r="I8" s="20" t="inlineStr">
        <is>
          <t>8:00 AM - 4:00 PM</t>
        </is>
      </c>
      <c r="J8" s="20" t="inlineStr">
        <is>
          <t>8:00 AM - 2:00 PM</t>
        </is>
      </c>
      <c r="K8" s="22" t="inlineStr">
        <is>
          <t>Off</t>
        </is>
      </c>
      <c r="L8" s="20" t="inlineStr">
        <is>
          <t>+91 98xxxxxx03</t>
        </is>
      </c>
      <c r="M8" s="20" t="inlineStr">
        <is>
          <t>Andheri, Juhu</t>
        </is>
      </c>
      <c r="N8" s="21" t="n"/>
    </row>
    <row r="9" ht="23.85" customHeight="1" s="16">
      <c r="A9" s="20" t="inlineStr">
        <is>
          <t>NR-02</t>
        </is>
      </c>
      <c r="B9" s="21" t="inlineStr">
        <is>
          <t>Nurse Sunita Rao</t>
        </is>
      </c>
      <c r="C9" s="20" t="inlineStr">
        <is>
          <t>Nurse</t>
        </is>
      </c>
      <c r="D9" s="20" t="inlineStr">
        <is>
          <t>Elderly / palliative care</t>
        </is>
      </c>
      <c r="E9" s="20" t="inlineStr">
        <is>
          <t>9:00 AM - 5:00 PM</t>
        </is>
      </c>
      <c r="F9" s="20" t="inlineStr">
        <is>
          <t>9:00 AM - 5:00 PM</t>
        </is>
      </c>
      <c r="G9" s="20" t="inlineStr">
        <is>
          <t>9:00 AM - 5:00 PM</t>
        </is>
      </c>
      <c r="H9" s="22" t="inlineStr">
        <is>
          <t>Off</t>
        </is>
      </c>
      <c r="I9" s="20" t="inlineStr">
        <is>
          <t>9:00 AM - 5:00 PM</t>
        </is>
      </c>
      <c r="J9" s="20" t="inlineStr">
        <is>
          <t>9:00 AM - 5:00 PM</t>
        </is>
      </c>
      <c r="K9" s="22" t="inlineStr">
        <is>
          <t>Off</t>
        </is>
      </c>
      <c r="L9" s="20" t="inlineStr">
        <is>
          <t>+91 98xxxxxx04</t>
        </is>
      </c>
      <c r="M9" s="20" t="inlineStr">
        <is>
          <t>Bandra, Khar</t>
        </is>
      </c>
      <c r="N9" s="21" t="inlineStr">
        <is>
          <t>Certified in wound care</t>
        </is>
      </c>
    </row>
    <row r="10" ht="23.85" customHeight="1" s="16">
      <c r="A10" s="20" t="inlineStr">
        <is>
          <t>NR-03</t>
        </is>
      </c>
      <c r="B10" s="21" t="inlineStr">
        <is>
          <t>Nurse Meera Joshi</t>
        </is>
      </c>
      <c r="C10" s="20" t="inlineStr">
        <is>
          <t>Nurse</t>
        </is>
      </c>
      <c r="D10" s="20" t="inlineStr">
        <is>
          <t>Post-natal / newborn care</t>
        </is>
      </c>
      <c r="E10" s="22" t="inlineStr">
        <is>
          <t>Off</t>
        </is>
      </c>
      <c r="F10" s="20" t="inlineStr">
        <is>
          <t>10:00 AM - 6:00 PM</t>
        </is>
      </c>
      <c r="G10" s="20" t="inlineStr">
        <is>
          <t>10:00 AM - 6:00 PM</t>
        </is>
      </c>
      <c r="H10" s="20" t="inlineStr">
        <is>
          <t>10:00 AM - 6:00 PM</t>
        </is>
      </c>
      <c r="I10" s="20" t="inlineStr">
        <is>
          <t>10:00 AM - 6:00 PM</t>
        </is>
      </c>
      <c r="J10" s="20" t="inlineStr">
        <is>
          <t>10:00 AM - 6:00 PM</t>
        </is>
      </c>
      <c r="K10" s="22" t="inlineStr">
        <is>
          <t>Off</t>
        </is>
      </c>
      <c r="L10" s="20" t="inlineStr">
        <is>
          <t>+91 98xxxxxx05</t>
        </is>
      </c>
      <c r="M10" s="20" t="inlineStr">
        <is>
          <t>Powai, Chembur</t>
        </is>
      </c>
      <c r="N10" s="21" t="inlineStr">
        <is>
          <t>On leave last week of month</t>
        </is>
      </c>
    </row>
    <row r="12" ht="15" customHeight="1" s="16">
      <c r="B12" s="23" t="inlineStr">
        <is>
          <t>Legend: grey cell = not available that day. Edit availability cells directly.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K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16" customWidth="1" style="15" min="2" max="2"/>
    <col width="20" customWidth="1" style="15" min="3" max="3"/>
    <col width="22" customWidth="1" style="15" min="4" max="4"/>
    <col width="20" customWidth="1" style="15" min="5" max="5"/>
    <col width="22" customWidth="1" style="15" min="6" max="6"/>
    <col width="10" customWidth="1" style="15" min="7" max="7"/>
    <col width="12" customWidth="1" style="15" min="8" max="8"/>
    <col width="16" customWidth="1" style="15" min="9" max="10"/>
    <col width="28" customWidth="1" style="15" min="11" max="11"/>
  </cols>
  <sheetData>
    <row r="2" ht="17.35" customHeight="1" s="16">
      <c r="B2" s="17" t="inlineStr">
        <is>
          <t>Saathi Sneha Care — Bookings Calendar</t>
        </is>
      </c>
    </row>
    <row r="3" ht="15" customHeight="1" s="16">
      <c r="B3" s="18" t="inlineStr">
        <is>
          <t>Current process: front desk fills this in by hand after a phone call. No automated conflict check yet.</t>
        </is>
      </c>
    </row>
    <row r="5" ht="21.75" customHeight="1" s="16">
      <c r="A5" s="19" t="inlineStr">
        <is>
          <t>Booking ID</t>
        </is>
      </c>
      <c r="B5" s="19" t="inlineStr">
        <is>
          <t>Date</t>
        </is>
      </c>
      <c r="C5" s="19" t="inlineStr">
        <is>
          <t>Time Slot</t>
        </is>
      </c>
      <c r="D5" s="19" t="inlineStr">
        <is>
          <t>Patient Name</t>
        </is>
      </c>
      <c r="E5" s="19" t="inlineStr">
        <is>
          <t>Service Type</t>
        </is>
      </c>
      <c r="F5" s="19" t="inlineStr">
        <is>
          <t>Assigned Staff</t>
        </is>
      </c>
      <c r="G5" s="19" t="inlineStr">
        <is>
          <t>Staff Role</t>
        </is>
      </c>
      <c r="H5" s="19" t="inlineStr">
        <is>
          <t>Status</t>
        </is>
      </c>
      <c r="I5" s="19" t="inlineStr">
        <is>
          <t>Contact Number</t>
        </is>
      </c>
      <c r="J5" s="19" t="inlineStr">
        <is>
          <t>Address / Area</t>
        </is>
      </c>
      <c r="K5" s="19" t="inlineStr">
        <is>
          <t>Notes</t>
        </is>
      </c>
    </row>
    <row r="6" ht="15" customHeight="1" s="16">
      <c r="A6" s="20" t="inlineStr">
        <is>
          <t>BK-101</t>
        </is>
      </c>
      <c r="B6" s="24" t="n">
        <v>46286</v>
      </c>
      <c r="C6" s="20" t="inlineStr">
        <is>
          <t>9:00 AM - 10:00 AM</t>
        </is>
      </c>
      <c r="D6" s="21" t="inlineStr">
        <is>
          <t>Mr. Suresh Patil</t>
        </is>
      </c>
      <c r="E6" s="20" t="inlineStr">
        <is>
          <t>General checkup</t>
        </is>
      </c>
      <c r="F6" s="20" t="inlineStr">
        <is>
          <t>Dr. Ramesh Iyer</t>
        </is>
      </c>
      <c r="G6" s="20" t="inlineStr">
        <is>
          <t>Doctor</t>
        </is>
      </c>
      <c r="H6" s="25" t="inlineStr">
        <is>
          <t>Confirmed</t>
        </is>
      </c>
      <c r="I6" s="20" t="inlineStr">
        <is>
          <t>+91 90xxxxxx11</t>
        </is>
      </c>
      <c r="J6" s="21" t="inlineStr">
        <is>
          <t>Andheri West</t>
        </is>
      </c>
      <c r="K6" s="21" t="n"/>
    </row>
    <row r="7" ht="15" customHeight="1" s="16">
      <c r="A7" s="20" t="inlineStr">
        <is>
          <t>BK-102</t>
        </is>
      </c>
      <c r="B7" s="24" t="n">
        <v>46286</v>
      </c>
      <c r="C7" s="20" t="inlineStr">
        <is>
          <t>10:30 AM - 11:30 AM</t>
        </is>
      </c>
      <c r="D7" s="21" t="inlineStr">
        <is>
          <t>Mrs. Kavita Shah</t>
        </is>
      </c>
      <c r="E7" s="20" t="inlineStr">
        <is>
          <t>Elderly care visit</t>
        </is>
      </c>
      <c r="F7" s="20" t="inlineStr">
        <is>
          <t>Nurse Sunita Rao</t>
        </is>
      </c>
      <c r="G7" s="20" t="inlineStr">
        <is>
          <t>Nurse</t>
        </is>
      </c>
      <c r="H7" s="25" t="inlineStr">
        <is>
          <t>Confirmed</t>
        </is>
      </c>
      <c r="I7" s="20" t="inlineStr">
        <is>
          <t>+91 90xxxxxx12</t>
        </is>
      </c>
      <c r="J7" s="21" t="inlineStr">
        <is>
          <t>Bandra East</t>
        </is>
      </c>
      <c r="K7" s="21" t="inlineStr">
        <is>
          <t>Dressing change</t>
        </is>
      </c>
    </row>
    <row r="8" ht="15" customHeight="1" s="16">
      <c r="A8" s="20" t="inlineStr">
        <is>
          <t>BK-103</t>
        </is>
      </c>
      <c r="B8" s="24" t="n">
        <v>46287</v>
      </c>
      <c r="C8" s="20" t="inlineStr">
        <is>
          <t>2:00 PM - 3:00 PM</t>
        </is>
      </c>
      <c r="D8" s="21" t="inlineStr">
        <is>
          <t>Baby of Mrs. Sneha Rao</t>
        </is>
      </c>
      <c r="E8" s="20" t="inlineStr">
        <is>
          <t>Post-natal check</t>
        </is>
      </c>
      <c r="F8" s="20" t="inlineStr">
        <is>
          <t>Nurse Meera Joshi</t>
        </is>
      </c>
      <c r="G8" s="20" t="inlineStr">
        <is>
          <t>Nurse</t>
        </is>
      </c>
      <c r="H8" s="26" t="inlineStr">
        <is>
          <t>Pending</t>
        </is>
      </c>
      <c r="I8" s="20" t="inlineStr">
        <is>
          <t>+91 90xxxxxx13</t>
        </is>
      </c>
      <c r="J8" s="21" t="inlineStr">
        <is>
          <t>Powai</t>
        </is>
      </c>
      <c r="K8" s="21" t="inlineStr">
        <is>
          <t>Family to confirm timing</t>
        </is>
      </c>
    </row>
    <row r="9" ht="15" customHeight="1" s="16">
      <c r="A9" s="20" t="inlineStr">
        <is>
          <t>BK-104</t>
        </is>
      </c>
      <c r="B9" s="24" t="n">
        <v>46287</v>
      </c>
      <c r="C9" s="20" t="inlineStr">
        <is>
          <t>3:00 PM - 4:00 PM</t>
        </is>
      </c>
      <c r="D9" s="21" t="inlineStr">
        <is>
          <t>Mr. Vinod Kulkarni</t>
        </is>
      </c>
      <c r="E9" s="20" t="inlineStr">
        <is>
          <t>Geriatric consult</t>
        </is>
      </c>
      <c r="F9" s="20" t="inlineStr">
        <is>
          <t>Dr. Priya Nair</t>
        </is>
      </c>
      <c r="G9" s="20" t="inlineStr">
        <is>
          <t>Doctor</t>
        </is>
      </c>
      <c r="H9" s="25" t="inlineStr">
        <is>
          <t>Confirmed</t>
        </is>
      </c>
      <c r="I9" s="20" t="inlineStr">
        <is>
          <t>+91 90xxxxxx14</t>
        </is>
      </c>
      <c r="J9" s="21" t="inlineStr">
        <is>
          <t>Ghatkopar</t>
        </is>
      </c>
      <c r="K9" s="21" t="n"/>
    </row>
    <row r="10" ht="15" customHeight="1" s="16">
      <c r="A10" s="20" t="inlineStr">
        <is>
          <t>BK-105</t>
        </is>
      </c>
      <c r="B10" s="24" t="n">
        <v>46288</v>
      </c>
      <c r="C10" s="20" t="inlineStr">
        <is>
          <t>9:30 AM - 10:30 AM</t>
        </is>
      </c>
      <c r="D10" s="21" t="inlineStr">
        <is>
          <t>Mrs. Leela Menon</t>
        </is>
      </c>
      <c r="E10" s="20" t="inlineStr">
        <is>
          <t>General home care</t>
        </is>
      </c>
      <c r="F10" s="20" t="inlineStr">
        <is>
          <t>Nurse Anjali Fernandes</t>
        </is>
      </c>
      <c r="G10" s="20" t="inlineStr">
        <is>
          <t>Nurse</t>
        </is>
      </c>
      <c r="H10" s="25" t="inlineStr">
        <is>
          <t>Confirmed</t>
        </is>
      </c>
      <c r="I10" s="20" t="inlineStr">
        <is>
          <t>+91 90xxxxxx15</t>
        </is>
      </c>
      <c r="J10" s="21" t="inlineStr">
        <is>
          <t>Juhu</t>
        </is>
      </c>
      <c r="K10" s="21" t="n"/>
    </row>
    <row r="11" ht="15" customHeight="1" s="16">
      <c r="A11" s="20" t="inlineStr">
        <is>
          <t>BK-106</t>
        </is>
      </c>
      <c r="B11" s="24" t="n">
        <v>46288</v>
      </c>
      <c r="C11" s="20" t="inlineStr">
        <is>
          <t>11:00 AM - 12:00 PM</t>
        </is>
      </c>
      <c r="D11" s="21" t="inlineStr">
        <is>
          <t>Mr. Suresh Patil</t>
        </is>
      </c>
      <c r="E11" s="20" t="inlineStr">
        <is>
          <t>Follow-up checkup</t>
        </is>
      </c>
      <c r="F11" s="20" t="inlineStr">
        <is>
          <t>Dr. Ramesh Iyer</t>
        </is>
      </c>
      <c r="G11" s="20" t="inlineStr">
        <is>
          <t>Doctor</t>
        </is>
      </c>
      <c r="H11" s="27" t="inlineStr">
        <is>
          <t>Cancelled</t>
        </is>
      </c>
      <c r="I11" s="20" t="inlineStr">
        <is>
          <t>+91 90xxxxxx11</t>
        </is>
      </c>
      <c r="J11" s="21" t="inlineStr">
        <is>
          <t>Andheri West</t>
        </is>
      </c>
      <c r="K11" s="21" t="inlineStr">
        <is>
          <t>Patient travelling, will rebook</t>
        </is>
      </c>
    </row>
    <row r="12" ht="15" customHeight="1" s="16">
      <c r="A12" s="20" t="inlineStr">
        <is>
          <t>BK-107</t>
        </is>
      </c>
      <c r="B12" s="24" t="n">
        <v>46289</v>
      </c>
      <c r="C12" s="20" t="inlineStr">
        <is>
          <t>9:00 AM - 10:00 AM</t>
        </is>
      </c>
      <c r="D12" s="21" t="inlineStr">
        <is>
          <t>Mrs. Kavita Shah</t>
        </is>
      </c>
      <c r="E12" s="20" t="inlineStr">
        <is>
          <t>Wound care</t>
        </is>
      </c>
      <c r="F12" s="20" t="inlineStr">
        <is>
          <t>Nurse Sunita Rao</t>
        </is>
      </c>
      <c r="G12" s="20" t="inlineStr">
        <is>
          <t>Nurse</t>
        </is>
      </c>
      <c r="H12" s="25" t="inlineStr">
        <is>
          <t>Confirmed</t>
        </is>
      </c>
      <c r="I12" s="20" t="inlineStr">
        <is>
          <t>+91 90xxxxxx12</t>
        </is>
      </c>
      <c r="J12" s="21" t="inlineStr">
        <is>
          <t>Bandra East</t>
        </is>
      </c>
      <c r="K12" s="21" t="n"/>
    </row>
    <row r="13" ht="23.85" customHeight="1" s="16">
      <c r="A13" s="20" t="inlineStr">
        <is>
          <t>BK-108</t>
        </is>
      </c>
      <c r="B13" s="24" t="n">
        <v>46290</v>
      </c>
      <c r="C13" s="20" t="inlineStr">
        <is>
          <t>2:30 PM - 3:30 PM</t>
        </is>
      </c>
      <c r="D13" s="21" t="inlineStr">
        <is>
          <t>Mr. Arvind Deshmukh</t>
        </is>
      </c>
      <c r="E13" s="20" t="inlineStr">
        <is>
          <t>Elderly care visit</t>
        </is>
      </c>
      <c r="F13" s="20" t="inlineStr">
        <is>
          <t>Nurse Sunita Rao</t>
        </is>
      </c>
      <c r="G13" s="20" t="inlineStr">
        <is>
          <t>Nurse</t>
        </is>
      </c>
      <c r="H13" s="26" t="inlineStr">
        <is>
          <t>Pending</t>
        </is>
      </c>
      <c r="I13" s="20" t="inlineStr">
        <is>
          <t>+91 90xxxxxx16</t>
        </is>
      </c>
      <c r="J13" s="21" t="inlineStr">
        <is>
          <t>Khar</t>
        </is>
      </c>
      <c r="K13" s="21" t="inlineStr">
        <is>
          <t>First-time enquiry, awaiting confirmation</t>
        </is>
      </c>
    </row>
    <row r="14" ht="15" customHeight="1" s="16">
      <c r="A14" s="20" t="inlineStr">
        <is>
          <t>BK-109</t>
        </is>
      </c>
      <c r="B14" s="24" t="n">
        <v>46290</v>
      </c>
      <c r="C14" s="20" t="inlineStr">
        <is>
          <t>10:00 AM - 11:00 AM</t>
        </is>
      </c>
      <c r="D14" s="21" t="inlineStr">
        <is>
          <t>Baby of Mrs. Sneha Rao</t>
        </is>
      </c>
      <c r="E14" s="20" t="inlineStr">
        <is>
          <t>Newborn check</t>
        </is>
      </c>
      <c r="F14" s="20" t="inlineStr">
        <is>
          <t>Nurse Meera Joshi</t>
        </is>
      </c>
      <c r="G14" s="20" t="inlineStr">
        <is>
          <t>Nurse</t>
        </is>
      </c>
      <c r="H14" s="25" t="inlineStr">
        <is>
          <t>Confirmed</t>
        </is>
      </c>
      <c r="I14" s="20" t="inlineStr">
        <is>
          <t>+91 90xxxxxx13</t>
        </is>
      </c>
      <c r="J14" s="21" t="inlineStr">
        <is>
          <t>Powai</t>
        </is>
      </c>
      <c r="K14" s="21" t="n"/>
    </row>
    <row r="15" ht="15" customHeight="1" s="16">
      <c r="A15" s="20" t="inlineStr">
        <is>
          <t>BK-110</t>
        </is>
      </c>
      <c r="B15" s="24" t="n">
        <v>46291</v>
      </c>
      <c r="C15" s="20" t="inlineStr">
        <is>
          <t>9:00 AM - 10:00 AM</t>
        </is>
      </c>
      <c r="D15" s="21" t="inlineStr">
        <is>
          <t>Mrs. Leela Menon</t>
        </is>
      </c>
      <c r="E15" s="20" t="inlineStr">
        <is>
          <t>General checkup</t>
        </is>
      </c>
      <c r="F15" s="20" t="inlineStr">
        <is>
          <t>Dr. Ramesh Iyer</t>
        </is>
      </c>
      <c r="G15" s="20" t="inlineStr">
        <is>
          <t>Doctor</t>
        </is>
      </c>
      <c r="H15" s="25" t="inlineStr">
        <is>
          <t>Confirmed</t>
        </is>
      </c>
      <c r="I15" s="20" t="inlineStr">
        <is>
          <t>+91 90xxxxxx15</t>
        </is>
      </c>
      <c r="J15" s="21" t="inlineStr">
        <is>
          <t>Juhu</t>
        </is>
      </c>
      <c r="K15" s="21" t="inlineStr">
        <is>
          <t>Saturday morning slot</t>
        </is>
      </c>
    </row>
    <row r="16">
      <c r="A16" s="15" t="inlineStr">
        <is>
          <t>BK-111</t>
        </is>
      </c>
      <c r="B16" s="28" t="n">
        <v>46289</v>
      </c>
      <c r="C16" s="15" t="inlineStr">
        <is>
          <t>11am</t>
        </is>
      </c>
      <c r="D16" s="15" t="inlineStr">
        <is>
          <t>prashna</t>
        </is>
      </c>
      <c r="E16" s="15" t="inlineStr">
        <is>
          <t>general check</t>
        </is>
      </c>
      <c r="F16" s="15" t="inlineStr">
        <is>
          <t>dr ramesh iyer</t>
        </is>
      </c>
      <c r="G16" s="15" t="inlineStr">
        <is>
          <t>doctor</t>
        </is>
      </c>
      <c r="H16" s="15" t="inlineStr">
        <is>
          <t>Confirmed</t>
        </is>
      </c>
      <c r="I16" s="15" t="inlineStr">
        <is>
          <t>9741831772</t>
        </is>
      </c>
      <c r="J16" s="15" t="inlineStr">
        <is>
          <t>gothatar</t>
        </is>
      </c>
      <c r="K16" s="15" t="inlineStr">
        <is>
          <t>no</t>
        </is>
      </c>
    </row>
    <row r="17" ht="15" customHeight="1" s="16">
      <c r="A17" s="15" t="inlineStr">
        <is>
          <t>BK-112</t>
        </is>
      </c>
      <c r="B17" s="32" t="n">
        <v>46293</v>
      </c>
      <c r="C17" s="15" t="inlineStr">
        <is>
          <t>10:00 AM - 11:00 AM</t>
        </is>
      </c>
      <c r="D17" s="15" t="inlineStr">
        <is>
          <t>reena</t>
        </is>
      </c>
      <c r="E17" s="15" t="inlineStr">
        <is>
          <t>General Checkup</t>
        </is>
      </c>
      <c r="F17" s="15" t="inlineStr">
        <is>
          <t>Dr. Ramesh Iyer</t>
        </is>
      </c>
      <c r="G17" s="15" t="inlineStr">
        <is>
          <t>Doctor</t>
        </is>
      </c>
      <c r="H17" s="15" t="inlineStr">
        <is>
          <t>Confirmed</t>
        </is>
      </c>
      <c r="I17" s="15" t="inlineStr">
        <is>
          <t>9741831772</t>
        </is>
      </c>
      <c r="K17" s="15" t="inlineStr">
        <is>
          <t>Approved by prashna</t>
        </is>
      </c>
    </row>
    <row r="18">
      <c r="A18" s="15" t="inlineStr">
        <is>
          <t>BK-113</t>
        </is>
      </c>
      <c r="B18" s="28" t="n">
        <v>46321</v>
      </c>
      <c r="C18" s="15" t="inlineStr">
        <is>
          <t>2:00 PM - 3:00 PM</t>
        </is>
      </c>
      <c r="D18" s="15" t="inlineStr">
        <is>
          <t>Prashna</t>
        </is>
      </c>
      <c r="E18" s="15" t="inlineStr">
        <is>
          <t>mumbai general checkup</t>
        </is>
      </c>
      <c r="F18" s="15" t="inlineStr">
        <is>
          <t>Dr. Priya Nair</t>
        </is>
      </c>
      <c r="G18" s="15" t="inlineStr">
        <is>
          <t>Doctor</t>
        </is>
      </c>
      <c r="H18" s="15" t="inlineStr">
        <is>
          <t>Confirmed</t>
        </is>
      </c>
      <c r="I18" s="15" t="inlineStr">
        <is>
          <t>9741831772</t>
        </is>
      </c>
      <c r="J18" s="15" t="inlineStr">
        <is>
          <t>adress:andheri</t>
        </is>
      </c>
      <c r="K18" s="15" t="inlineStr">
        <is>
          <t>mumbai | Approved by Coordinator_Prashna</t>
        </is>
      </c>
    </row>
    <row r="19">
      <c r="A19" t="inlineStr">
        <is>
          <t>BK-114</t>
        </is>
      </c>
      <c r="B19" s="28" t="n">
        <v>46321</v>
      </c>
      <c r="C19" t="inlineStr">
        <is>
          <t>3:00 PM - 4:00 PM</t>
        </is>
      </c>
      <c r="D19" t="inlineStr">
        <is>
          <t>Prashna KC</t>
        </is>
      </c>
      <c r="E19" t="inlineStr">
        <is>
          <t>consultation</t>
        </is>
      </c>
      <c r="F19" t="inlineStr">
        <is>
          <t>Dr. Priya Nair</t>
        </is>
      </c>
      <c r="G19" t="inlineStr">
        <is>
          <t>Doctor</t>
        </is>
      </c>
      <c r="H19" t="inlineStr">
        <is>
          <t>Confirmed</t>
        </is>
      </c>
      <c r="I19" t="inlineStr">
        <is>
          <t>9741831772</t>
        </is>
      </c>
      <c r="J19" t="inlineStr">
        <is>
          <t>gatkopar</t>
        </is>
      </c>
      <c r="K19" t="inlineStr">
        <is>
          <t>Staged via Patient Chat | Approved by Coordinator_Prashna</t>
        </is>
      </c>
    </row>
  </sheetData>
  <dataValidations count="1">
    <dataValidation sqref="H6:H35" showDropDown="0" showInputMessage="0" showErrorMessage="0" allowBlank="0" type="list" errorStyle="stop" operator="between">
      <formula1>"Confirmed,Pending,Cancelled"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5" min="1" max="1"/>
    <col width="10" customWidth="1" style="15" min="2" max="2"/>
    <col width="12" customWidth="1" style="15" min="3" max="3"/>
    <col width="10" customWidth="1" style="15" min="4" max="4"/>
    <col width="12" customWidth="1" style="15" min="5" max="5"/>
    <col width="10" customWidth="1" style="15" min="6" max="6"/>
  </cols>
  <sheetData>
    <row r="2" ht="17.35" customHeight="1" s="16">
      <c r="B2" s="17" t="inlineStr">
        <is>
          <t>Saathi Sneha Care — Weekly Booking Summary</t>
        </is>
      </c>
    </row>
    <row r="3" ht="15" customHeight="1" s="16">
      <c r="B3" s="18" t="inlineStr">
        <is>
          <t>Auto-counts bookings per staff member from the Bookings Calendar tab.</t>
        </is>
      </c>
    </row>
    <row r="5" ht="21.75" customHeight="1" s="16">
      <c r="A5" s="19" t="inlineStr">
        <is>
          <t>Staff Name</t>
        </is>
      </c>
      <c r="B5" s="19" t="inlineStr">
        <is>
          <t>Role</t>
        </is>
      </c>
      <c r="C5" s="19" t="inlineStr">
        <is>
          <t>Confirmed</t>
        </is>
      </c>
      <c r="D5" s="19" t="inlineStr">
        <is>
          <t>Pending</t>
        </is>
      </c>
      <c r="E5" s="19" t="inlineStr">
        <is>
          <t>Cancelled</t>
        </is>
      </c>
      <c r="F5" s="19" t="inlineStr">
        <is>
          <t>Total</t>
        </is>
      </c>
    </row>
    <row r="6" ht="15" customHeight="1" s="16">
      <c r="A6" s="21" t="inlineStr">
        <is>
          <t>Dr. Ramesh Iyer</t>
        </is>
      </c>
      <c r="B6" s="20" t="inlineStr">
        <is>
          <t>Doctor</t>
        </is>
      </c>
      <c r="C6" s="20">
        <f>COUNTIFS('Bookings Calendar'!$F$6:$F$15,A6,'Bookings Calendar'!$H$6:$H$15,"Confirmed")</f>
        <v/>
      </c>
      <c r="D6" s="20">
        <f>COUNTIFS('Bookings Calendar'!$F$6:$F$15,A6,'Bookings Calendar'!$H$6:$H$15,"Pending")</f>
        <v/>
      </c>
      <c r="E6" s="20">
        <f>COUNTIFS('Bookings Calendar'!$F$6:$F$15,A6,'Bookings Calendar'!$H$6:$H$15,"Cancelled")</f>
        <v/>
      </c>
      <c r="F6" s="29">
        <f>SUM(C6:E6)</f>
        <v/>
      </c>
    </row>
    <row r="7" ht="15" customHeight="1" s="16">
      <c r="A7" s="21" t="inlineStr">
        <is>
          <t>Dr. Priya Nair</t>
        </is>
      </c>
      <c r="B7" s="20" t="inlineStr">
        <is>
          <t>Doctor</t>
        </is>
      </c>
      <c r="C7" s="20">
        <f>COUNTIFS('Bookings Calendar'!$F$6:$F$15,A7,'Bookings Calendar'!$H$6:$H$15,"Confirmed")</f>
        <v/>
      </c>
      <c r="D7" s="20">
        <f>COUNTIFS('Bookings Calendar'!$F$6:$F$15,A7,'Bookings Calendar'!$H$6:$H$15,"Pending")</f>
        <v/>
      </c>
      <c r="E7" s="20">
        <f>COUNTIFS('Bookings Calendar'!$F$6:$F$15,A7,'Bookings Calendar'!$H$6:$H$15,"Cancelled")</f>
        <v/>
      </c>
      <c r="F7" s="29">
        <f>SUM(C7:E7)</f>
        <v/>
      </c>
    </row>
    <row r="8" ht="15" customHeight="1" s="16">
      <c r="A8" s="21" t="inlineStr">
        <is>
          <t>Nurse Anjali Fernandes</t>
        </is>
      </c>
      <c r="B8" s="20" t="inlineStr">
        <is>
          <t>Nurse</t>
        </is>
      </c>
      <c r="C8" s="20">
        <f>COUNTIFS('Bookings Calendar'!$F$6:$F$15,A8,'Bookings Calendar'!$H$6:$H$15,"Confirmed")</f>
        <v/>
      </c>
      <c r="D8" s="20">
        <f>COUNTIFS('Bookings Calendar'!$F$6:$F$15,A8,'Bookings Calendar'!$H$6:$H$15,"Pending")</f>
        <v/>
      </c>
      <c r="E8" s="20">
        <f>COUNTIFS('Bookings Calendar'!$F$6:$F$15,A8,'Bookings Calendar'!$H$6:$H$15,"Cancelled")</f>
        <v/>
      </c>
      <c r="F8" s="29">
        <f>SUM(C8:E8)</f>
        <v/>
      </c>
    </row>
    <row r="9" ht="15" customHeight="1" s="16">
      <c r="A9" s="21" t="inlineStr">
        <is>
          <t>Nurse Sunita Rao</t>
        </is>
      </c>
      <c r="B9" s="20" t="inlineStr">
        <is>
          <t>Nurse</t>
        </is>
      </c>
      <c r="C9" s="20">
        <f>COUNTIFS('Bookings Calendar'!$F$6:$F$15,A9,'Bookings Calendar'!$H$6:$H$15,"Confirmed")</f>
        <v/>
      </c>
      <c r="D9" s="20">
        <f>COUNTIFS('Bookings Calendar'!$F$6:$F$15,A9,'Bookings Calendar'!$H$6:$H$15,"Pending")</f>
        <v/>
      </c>
      <c r="E9" s="20">
        <f>COUNTIFS('Bookings Calendar'!$F$6:$F$15,A9,'Bookings Calendar'!$H$6:$H$15,"Cancelled")</f>
        <v/>
      </c>
      <c r="F9" s="29">
        <f>SUM(C9:E9)</f>
        <v/>
      </c>
    </row>
    <row r="10" ht="15" customHeight="1" s="16">
      <c r="A10" s="21" t="inlineStr">
        <is>
          <t>Nurse Meera Joshi</t>
        </is>
      </c>
      <c r="B10" s="20" t="inlineStr">
        <is>
          <t>Nurse</t>
        </is>
      </c>
      <c r="C10" s="20">
        <f>COUNTIFS('Bookings Calendar'!$F$6:$F$15,A10,'Bookings Calendar'!$H$6:$H$15,"Confirmed")</f>
        <v/>
      </c>
      <c r="D10" s="20">
        <f>COUNTIFS('Bookings Calendar'!$F$6:$F$15,A10,'Bookings Calendar'!$H$6:$H$15,"Pending")</f>
        <v/>
      </c>
      <c r="E10" s="20">
        <f>COUNTIFS('Bookings Calendar'!$F$6:$F$15,A10,'Bookings Calendar'!$H$6:$H$15,"Cancelled")</f>
        <v/>
      </c>
      <c r="F10" s="29">
        <f>SUM(C10:E10)</f>
        <v/>
      </c>
    </row>
    <row r="11" ht="15" customHeight="1" s="16">
      <c r="A11" s="30" t="inlineStr">
        <is>
          <t>Total</t>
        </is>
      </c>
      <c r="B11" s="31" t="n"/>
      <c r="C11" s="29">
        <f>SUM(C6:C10)</f>
        <v/>
      </c>
      <c r="D11" s="29">
        <f>SUM(D6:D10)</f>
        <v/>
      </c>
      <c r="E11" s="29">
        <f>SUM(E6:E10)</f>
        <v/>
      </c>
      <c r="F11" s="29">
        <f>SUM(F6:F10)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2026-09-20T15:52:08Z</dcterms:created>
  <dcterms:modified xsi:type="dcterms:W3CDTF">2026-10-27T04:06:05Z</dcterms:modified>
  <cp:revision>0</cp:revision>
</cp:coreProperties>
</file>